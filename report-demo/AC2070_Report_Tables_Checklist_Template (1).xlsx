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 autoCompressPictures="0"/>
  <xr:revisionPtr revIDLastSave="1" documentId="11_E4CEBB13D1B920760E10B0F3BD0BE4DB76DD1B17" xr6:coauthVersionLast="47" xr6:coauthVersionMax="47" xr10:uidLastSave="{3C6702B7-19D7-40AF-8025-9FB239A8FDBC}"/>
  <bookViews>
    <workbookView xWindow="0" yWindow="0" windowWidth="0" windowHeight="0" xr2:uid="{00000000-000D-0000-FFFF-FFFF00000000}"/>
  </bookViews>
  <sheets>
    <sheet name="00_Checklist" sheetId="1" r:id="rId1"/>
    <sheet name="01_TongKetChucNang" sheetId="2" r:id="rId2"/>
    <sheet name="02_TongKet_DiemMoi" sheetId="3" r:id="rId3"/>
    <sheet name="03_PhanCong" sheetId="4" r:id="rId4"/>
    <sheet name="04_KyThuat" sheetId="5" r:id="rId5"/>
    <sheet name="05_Demo_KichBan" sheetId="6" r:id="rId6"/>
    <sheet name="06_PhuLuc_CaNhan" sheetId="7" r:id="rId7"/>
    <sheet name="99_GhiChu" sheetId="8" r:id="rId8"/>
  </sheets>
  <definedNames>
    <definedName name="_xlnm._FilterDatabase" localSheetId="0" hidden="1">'00_Checklist'!$A$3:$H$200</definedName>
    <definedName name="_xlnm._FilterDatabase" localSheetId="1" hidden="1">'01_TongKetChucNang'!$A$3:$G$200</definedName>
    <definedName name="_xlnm._FilterDatabase" localSheetId="2" hidden="1">'02_TongKet_DiemMoi'!$A$3:$F$200</definedName>
    <definedName name="_xlnm._FilterDatabase" localSheetId="3" hidden="1">'03_PhanCong'!$A$3:$I$200</definedName>
    <definedName name="_xlnm._FilterDatabase" localSheetId="4" hidden="1">'04_KyThuat'!$A$3:$H$200</definedName>
    <definedName name="_xlnm._FilterDatabase" localSheetId="5" hidden="1">'05_Demo_KichBan'!$A$3:$H$200</definedName>
    <definedName name="_xlnm._FilterDatabase" localSheetId="6" hidden="1">'06_PhuLuc_CaNhan'!$A$3:$K$200</definedName>
    <definedName name="_xlnm._FilterDatabase" localSheetId="7" hidden="1">'99_GhiChu'!$A$3:$B$200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5" i="1" s="1"/>
</calcChain>
</file>

<file path=xl/sharedStrings.xml><?xml version="1.0" encoding="utf-8"?>
<sst xmlns="http://schemas.openxmlformats.org/spreadsheetml/2006/main" count="349" uniqueCount="161">
  <si>
    <t>Checklist Báo cáo &amp; Nộp bài (AC2070 - Lập trình Web)</t>
  </si>
  <si>
    <t>Dựa theo hướng dẫn/ barem trong 'HD viết báo cáo và thang điểm.docx'. Cập nhật: 2026-04-15</t>
  </si>
  <si>
    <t>STT</t>
  </si>
  <si>
    <t>Hạng mục</t>
  </si>
  <si>
    <t>Mô tả yêu cầu</t>
  </si>
  <si>
    <t>Đầu ra / Vị trí trong báo cáo</t>
  </si>
  <si>
    <t>Người phụ trách</t>
  </si>
  <si>
    <t>Trạng thái</t>
  </si>
  <si>
    <t>Hạn (date)</t>
  </si>
  <si>
    <t>Ghi chú</t>
  </si>
  <si>
    <t>1</t>
  </si>
  <si>
    <t>Nộp bài</t>
  </si>
  <si>
    <t>Nộp đủ source code + báo cáo Word theo yêu cầu.</t>
  </si>
  <si>
    <t>Submission</t>
  </si>
  <si>
    <t/>
  </si>
  <si>
    <t>Not started</t>
  </si>
  <si>
    <t>2</t>
  </si>
  <si>
    <t>Trang bìa</t>
  </si>
  <si>
    <t>Đủ thông tin: trường/khoa/môn, tên đề tài, mã môn/mã đề tài, thời gian, DS thành viên + MSSV, nhóm trưởng.</t>
  </si>
  <si>
    <t>3</t>
  </si>
  <si>
    <t>Phần 1 - Giới thiệu</t>
  </si>
  <si>
    <t>Giới thiệu yêu cầu đề bài.</t>
  </si>
  <si>
    <t>Phần 1</t>
  </si>
  <si>
    <t>4</t>
  </si>
  <si>
    <t>Phần 1 - Thay đổi so với đề bài</t>
  </si>
  <si>
    <t>Nêu thay đổi/chức năng mới/cách tiếp cận khác/lưu ý khi chấm.</t>
  </si>
  <si>
    <t>5</t>
  </si>
  <si>
    <t>Bảng: Tổng kết chức năng</t>
  </si>
  <si>
    <t>Bảng: chức năng gì, làm được/chưa, ai phụ trách.</t>
  </si>
  <si>
    <t>Phần 1 (Bảng)</t>
  </si>
  <si>
    <t>6</t>
  </si>
  <si>
    <t>Bảng: Tổng kết làm được/chưa + điểm mới/hạn chế</t>
  </si>
  <si>
    <t>Tổng kết chung, có điểm mới &amp; hạn chế tự nhận xét.</t>
  </si>
  <si>
    <t>7</t>
  </si>
  <si>
    <t>Bảng: Phân công công việc</t>
  </si>
  <si>
    <t>Phân công user-facing + nội tại hệ thống; tự đánh giá: Chưa đạt/Đạt/Tốt.</t>
  </si>
  <si>
    <t>8</t>
  </si>
  <si>
    <t>Bảng: Kĩ thuật đã sử dụng</t>
  </si>
  <si>
    <t>Theo chức năng + người thực hiện + đánh dấu CSS/JS/Middleware/Form/API/CSDL.</t>
  </si>
  <si>
    <t>9</t>
  </si>
  <si>
    <t>Phần 2 - Sơ đồ phần cứng</t>
  </si>
  <si>
    <t>Sơ đồ client/server(CSDL) + đoạn mô tả hoạt động.</t>
  </si>
  <si>
    <t>Phần 2</t>
  </si>
  <si>
    <t>10</t>
  </si>
  <si>
    <t>Phần 2 - Kiến trúc phần mềm</t>
  </si>
  <si>
    <t>Mô tả FE/BE/DB + phối hợp khi chạy.</t>
  </si>
  <si>
    <t>11</t>
  </si>
  <si>
    <t>Phần 2 - Kiến trúc code</t>
  </si>
  <si>
    <t>Cây thư mục + giải thích vai trò folder/file.</t>
  </si>
  <si>
    <t>12</t>
  </si>
  <si>
    <t>Phần 3 - Demo kịch bản</t>
  </si>
  <si>
    <t>Mô tả chức năng chính theo kịch bản; hình có tên/tiêu đề.</t>
  </si>
  <si>
    <t>Phần 3</t>
  </si>
  <si>
    <t>13</t>
  </si>
  <si>
    <t>Phần 3 - Bảng tổng kết chức năng (nhắc lại)</t>
  </si>
  <si>
    <t>Nhắc lại bảng tổng kết chức năng + người phụ trách.</t>
  </si>
  <si>
    <t>Phần 3 (Bảng)</t>
  </si>
  <si>
    <t>14</t>
  </si>
  <si>
    <t>Phần 4 - Tổng kết</t>
  </si>
  <si>
    <t>Những gì còn tồn tại; học được từ môn; tích lũy khi làm đề tài.</t>
  </si>
  <si>
    <t>Phần 4</t>
  </si>
  <si>
    <t>15</t>
  </si>
  <si>
    <t>Phụ lục cá nhân (mỗi SV)</t>
  </si>
  <si>
    <t>File riêng: groupxx_mssv_ind_rapport.docx; nêu: lý do chọn middleware, đường đi request-&gt;response, vận hành website theo phần việc.</t>
  </si>
  <si>
    <t>Phụ lục cá nhân</t>
  </si>
  <si>
    <t>16</t>
  </si>
  <si>
    <t>Kiểm tra barem phần mềm</t>
  </si>
  <si>
    <t>FE+BE chạy demo; có DB CRUD (đọc/ghi/sửa/xóa).</t>
  </si>
  <si>
    <t>Demo/Runbook</t>
  </si>
  <si>
    <t>17</t>
  </si>
  <si>
    <t>Đảm bảo có kỹ thuật bắt buộc</t>
  </si>
  <si>
    <t>Có CSS, JS, middleware, form input, API, CSDL trong giải pháp.</t>
  </si>
  <si>
    <t>Codebase</t>
  </si>
  <si>
    <t>TỔNG HỢP</t>
  </si>
  <si>
    <t>Tổng số mục</t>
  </si>
  <si>
    <t>Đã hoàn thành (Done)</t>
  </si>
  <si>
    <t>% hoàn thành</t>
  </si>
  <si>
    <t>Bảng tổng kết chức năng phần mềm đã thực hiện</t>
  </si>
  <si>
    <t>Theo hướng dẫn: chức năng gì, làm được/chưa, ai phụ trách.</t>
  </si>
  <si>
    <t>ID</t>
  </si>
  <si>
    <t>Chức năng</t>
  </si>
  <si>
    <t>Mô tả ngắn</t>
  </si>
  <si>
    <t>Trạng thái (Done/Partial/Not)</t>
  </si>
  <si>
    <t>Link demo (Hình # / trang)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</si>
  <si>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</si>
  <si>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</si>
  <si>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</si>
  <si>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</si>
  <si>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</si>
  <si>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</si>
  <si>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</si>
  <si>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</si>
  <si>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</si>
  <si>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</si>
  <si>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Bảng tổng kết làm được/chưa làm được, điểm mới, hạn chế (tự nhận xét)</t>
  </si>
  <si>
    <t>Gợi ý điền theo các mảng: UI/UX, CSDL, API, bảo mật, async, deploy,...</t>
  </si>
  <si>
    <t>Làm được</t>
  </si>
  <si>
    <t>Chưa làm được</t>
  </si>
  <si>
    <t>Điểm mới / Điểm nổi bật</t>
  </si>
  <si>
    <t>Hạn chế / Tự nhận xét</t>
  </si>
  <si>
    <t>Hướng cải tiến (nếu có)</t>
  </si>
  <si>
    <t>UI/UX</t>
  </si>
  <si>
    <t>CSDL / Thiết kế DB</t>
  </si>
  <si>
    <t>API / Backend</t>
  </si>
  <si>
    <t>Middleware / Auth / Validation</t>
  </si>
  <si>
    <t>JS (FE) / Tương tác</t>
  </si>
  <si>
    <t>Triển khai / Demo</t>
  </si>
  <si>
    <t>Bảng phân công công việc, nhiệm vụ từng thành viên</t>
  </si>
  <si>
    <t>Yêu cầu có cả chức năng nhìn thấy &amp; nội tại; tự đánh giá: Chưa đạt/Đạt/Tốt.</t>
  </si>
  <si>
    <t>Thành viên</t>
  </si>
  <si>
    <t>MSSV</t>
  </si>
  <si>
    <t>Vai trò</t>
  </si>
  <si>
    <t>Nhiệm vụ (user-facing)</t>
  </si>
  <si>
    <t>Nhiệm vụ (nội tại / backend / DB)</t>
  </si>
  <si>
    <t>Middleware phụ trách</t>
  </si>
  <si>
    <t>Mức độ hoàn thành</t>
  </si>
  <si>
    <t>Evidence (commit/PR/link)</t>
  </si>
  <si>
    <t>Bảng tổng kết các kĩ thuật đã sử dụng kèm chức năng</t>
  </si>
  <si>
    <t>Đánh dấu 'x' vào các kĩ thuật đã dùng cho từng chức năng.</t>
  </si>
  <si>
    <t>Người thực hiện</t>
  </si>
  <si>
    <t>CSS</t>
  </si>
  <si>
    <t>JS</t>
  </si>
  <si>
    <t>Middleware</t>
  </si>
  <si>
    <t>Form input</t>
  </si>
  <si>
    <t>API (FE&lt;-&gt;BE)</t>
  </si>
  <si>
    <t>CSDL</t>
  </si>
  <si>
    <t>Template kịch bản Demo (Phần 3)</t>
  </si>
  <si>
    <t>Mỗi chức năng mô tả theo từng bước; ảnh phải có tên/tiêu đề.</t>
  </si>
  <si>
    <t>Mục tiêu</t>
  </si>
  <si>
    <t>Bước #</t>
  </si>
  <si>
    <t>Hành động người dùng</t>
  </si>
  <si>
    <t>Phản hồi hệ thống</t>
  </si>
  <si>
    <t>Ảnh minh hoạ (Hình # / tên file)</t>
  </si>
  <si>
    <t>API/Endpoint liên quan</t>
  </si>
  <si>
    <t>Chức năng 1 (điền tên)</t>
  </si>
  <si>
    <t>Mục tiêu ...</t>
  </si>
  <si>
    <t>Người dùng ...</t>
  </si>
  <si>
    <t>Hệ thống ...</t>
  </si>
  <si>
    <t>Hình 1 - ...</t>
  </si>
  <si>
    <t>GET /api/...</t>
  </si>
  <si>
    <t>Hình 2 - ...</t>
  </si>
  <si>
    <t>POST /api/...</t>
  </si>
  <si>
    <t>Template phụ lục cá nhân (mỗi SV nộp riêng)</t>
  </si>
  <si>
    <t>Nội dung: lý do chọn middleware; giải thích đường đi request-&gt;response; giải thích vận hành website theo phần việc.</t>
  </si>
  <si>
    <t>Trường hợp (chức năng)</t>
  </si>
  <si>
    <t>Middleware/Thư viện chọn</t>
  </si>
  <si>
    <t>Lý do chọn</t>
  </si>
  <si>
    <t>Vai trò / nhiệm vụ</t>
  </si>
  <si>
    <t>Cách hoạt động (tóm tắt)</t>
  </si>
  <si>
    <t>Request flow (từ request -&gt; response)</t>
  </si>
  <si>
    <t>Response (status/body)</t>
  </si>
  <si>
    <t>Vận hành website (phần việc)</t>
  </si>
  <si>
    <t>Cách dùng file Excel này</t>
  </si>
  <si>
    <t>Ghi chú sử dụng</t>
  </si>
  <si>
    <t>Liên kết/tài liệu</t>
  </si>
  <si>
    <t>Điền dữ liệu vào các sheet 01-06 theo nội dung dự án. Các ô có drop-down giúp chuẩn hóa trạng thái.</t>
  </si>
  <si>
    <t>Sheet 04: chỉ cần đánh dấu 'x' cho kĩ thuật được dùng ở từng chức năng.</t>
  </si>
  <si>
    <t>Sheet 05: dùng làm kịch bản demo + mapping ảnh (Hình #) để chèn vào báo cáo Word.</t>
  </si>
  <si>
    <t>Sheet 06: mỗi thành viên copy 1 dòng/khối để viết phụ lục cá nhân (middleware + request flow + vận hành).</t>
  </si>
  <si>
    <t>Nguồn yêu cầu: 'HD viết báo cáo và thang điểm.docx' (đã upload).</t>
  </si>
  <si>
    <t>local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</si>
</sst>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000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/>
  </sheetViews>
  <sheetFormatPr defaultRowHeight="15"/>
  <cols>
    <col min="1" max="1" width="6" customWidth="1"/>
    <col min="2" max="2" width="28" customWidth="1"/>
    <col min="3" max="3" width="55" customWidth="1"/>
    <col min="4" max="4" width="30" customWidth="1"/>
    <col min="5" max="5" width="18" customWidth="1"/>
    <col min="6" max="6" width="14" customWidth="1"/>
    <col min="7" max="7" width="12" customWidth="1"/>
    <col min="8" max="8" width="28" customWidth="1"/>
  </cols>
  <sheetData>
    <row r="1" spans="1:8" ht="27.95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 ht="18" customHeight="1">
      <c r="A2" s="8" t="s">
        <v>1</v>
      </c>
      <c r="B2" s="11"/>
      <c r="C2" s="11"/>
      <c r="D2" s="11"/>
      <c r="E2" s="11"/>
      <c r="F2" s="11"/>
      <c r="G2" s="11"/>
      <c r="H2" s="11"/>
    </row>
    <row r="3" spans="1:8" ht="33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3" t="s">
        <v>14</v>
      </c>
      <c r="H4" s="2" t="s">
        <v>14</v>
      </c>
    </row>
    <row r="5" spans="1:8">
      <c r="A5" s="2" t="s">
        <v>16</v>
      </c>
      <c r="B5" s="2" t="s">
        <v>17</v>
      </c>
      <c r="C5" s="2" t="s">
        <v>18</v>
      </c>
      <c r="D5" s="2" t="s">
        <v>17</v>
      </c>
      <c r="E5" s="2" t="s">
        <v>14</v>
      </c>
      <c r="F5" s="2" t="s">
        <v>15</v>
      </c>
      <c r="G5" s="3" t="s">
        <v>14</v>
      </c>
      <c r="H5" s="2" t="s">
        <v>14</v>
      </c>
    </row>
    <row r="6" spans="1:8">
      <c r="A6" s="2" t="s">
        <v>19</v>
      </c>
      <c r="B6" s="2" t="s">
        <v>20</v>
      </c>
      <c r="C6" s="2" t="s">
        <v>21</v>
      </c>
      <c r="D6" s="2" t="s">
        <v>22</v>
      </c>
      <c r="E6" s="2" t="s">
        <v>14</v>
      </c>
      <c r="F6" s="2" t="s">
        <v>15</v>
      </c>
      <c r="G6" s="3" t="s">
        <v>14</v>
      </c>
      <c r="H6" s="2" t="s">
        <v>14</v>
      </c>
    </row>
    <row r="7" spans="1:8">
      <c r="A7" s="2" t="s">
        <v>23</v>
      </c>
      <c r="B7" s="2" t="s">
        <v>24</v>
      </c>
      <c r="C7" s="2" t="s">
        <v>25</v>
      </c>
      <c r="D7" s="2" t="s">
        <v>22</v>
      </c>
      <c r="E7" s="2" t="s">
        <v>14</v>
      </c>
      <c r="F7" s="2" t="s">
        <v>15</v>
      </c>
      <c r="G7" s="3" t="s">
        <v>14</v>
      </c>
      <c r="H7" s="2" t="s">
        <v>14</v>
      </c>
    </row>
    <row r="8" spans="1:8">
      <c r="A8" s="2" t="s">
        <v>26</v>
      </c>
      <c r="B8" s="2" t="s">
        <v>27</v>
      </c>
      <c r="C8" s="2" t="s">
        <v>28</v>
      </c>
      <c r="D8" s="2" t="s">
        <v>29</v>
      </c>
      <c r="E8" s="2" t="s">
        <v>14</v>
      </c>
      <c r="F8" s="2" t="s">
        <v>15</v>
      </c>
      <c r="G8" s="3" t="s">
        <v>14</v>
      </c>
      <c r="H8" s="2" t="s">
        <v>14</v>
      </c>
    </row>
    <row r="9" spans="1:8">
      <c r="A9" s="2" t="s">
        <v>30</v>
      </c>
      <c r="B9" s="2" t="s">
        <v>31</v>
      </c>
      <c r="C9" s="2" t="s">
        <v>32</v>
      </c>
      <c r="D9" s="2" t="s">
        <v>29</v>
      </c>
      <c r="E9" s="2" t="s">
        <v>14</v>
      </c>
      <c r="F9" s="2" t="s">
        <v>15</v>
      </c>
      <c r="G9" s="3" t="s">
        <v>14</v>
      </c>
      <c r="H9" s="2" t="s">
        <v>14</v>
      </c>
    </row>
    <row r="10" spans="1:8">
      <c r="A10" s="2" t="s">
        <v>33</v>
      </c>
      <c r="B10" s="2" t="s">
        <v>34</v>
      </c>
      <c r="C10" s="2" t="s">
        <v>35</v>
      </c>
      <c r="D10" s="2" t="s">
        <v>29</v>
      </c>
      <c r="E10" s="2" t="s">
        <v>14</v>
      </c>
      <c r="F10" s="2" t="s">
        <v>15</v>
      </c>
      <c r="G10" s="3" t="s">
        <v>14</v>
      </c>
      <c r="H10" s="2" t="s">
        <v>14</v>
      </c>
    </row>
    <row r="11" spans="1:8">
      <c r="A11" s="2" t="s">
        <v>36</v>
      </c>
      <c r="B11" s="2" t="s">
        <v>37</v>
      </c>
      <c r="C11" s="2" t="s">
        <v>38</v>
      </c>
      <c r="D11" s="2" t="s">
        <v>29</v>
      </c>
      <c r="E11" s="2" t="s">
        <v>14</v>
      </c>
      <c r="F11" s="2" t="s">
        <v>15</v>
      </c>
      <c r="G11" s="3" t="s">
        <v>14</v>
      </c>
      <c r="H11" s="2" t="s">
        <v>14</v>
      </c>
    </row>
    <row r="12" spans="1:8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14</v>
      </c>
      <c r="F12" s="2" t="s">
        <v>15</v>
      </c>
      <c r="G12" s="3" t="s">
        <v>14</v>
      </c>
      <c r="H12" s="2" t="s">
        <v>14</v>
      </c>
    </row>
    <row r="13" spans="1:8">
      <c r="A13" s="2" t="s">
        <v>43</v>
      </c>
      <c r="B13" s="2" t="s">
        <v>44</v>
      </c>
      <c r="C13" s="2" t="s">
        <v>45</v>
      </c>
      <c r="D13" s="2" t="s">
        <v>42</v>
      </c>
      <c r="E13" s="2" t="s">
        <v>14</v>
      </c>
      <c r="F13" s="2" t="s">
        <v>15</v>
      </c>
      <c r="G13" s="3" t="s">
        <v>14</v>
      </c>
      <c r="H13" s="2" t="s">
        <v>14</v>
      </c>
    </row>
    <row r="14" spans="1:8">
      <c r="A14" s="2" t="s">
        <v>46</v>
      </c>
      <c r="B14" s="2" t="s">
        <v>47</v>
      </c>
      <c r="C14" s="2" t="s">
        <v>48</v>
      </c>
      <c r="D14" s="2" t="s">
        <v>42</v>
      </c>
      <c r="E14" s="2" t="s">
        <v>14</v>
      </c>
      <c r="F14" s="2" t="s">
        <v>15</v>
      </c>
      <c r="G14" s="3" t="s">
        <v>14</v>
      </c>
      <c r="H14" s="2" t="s">
        <v>14</v>
      </c>
    </row>
    <row r="15" spans="1:8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14</v>
      </c>
      <c r="F15" s="2" t="s">
        <v>15</v>
      </c>
      <c r="G15" s="3" t="s">
        <v>14</v>
      </c>
      <c r="H15" s="2" t="s">
        <v>14</v>
      </c>
    </row>
    <row r="16" spans="1:8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14</v>
      </c>
      <c r="F16" s="2" t="s">
        <v>15</v>
      </c>
      <c r="G16" s="3" t="s">
        <v>14</v>
      </c>
      <c r="H16" s="2" t="s">
        <v>14</v>
      </c>
    </row>
    <row r="17" spans="1:8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14</v>
      </c>
      <c r="F17" s="2" t="s">
        <v>15</v>
      </c>
      <c r="G17" s="3" t="s">
        <v>14</v>
      </c>
      <c r="H17" s="2" t="s">
        <v>14</v>
      </c>
    </row>
    <row r="18" spans="1:8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14</v>
      </c>
      <c r="F18" s="2" t="s">
        <v>15</v>
      </c>
      <c r="G18" s="3" t="s">
        <v>14</v>
      </c>
      <c r="H18" s="2" t="s">
        <v>14</v>
      </c>
    </row>
    <row r="19" spans="1:8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14</v>
      </c>
      <c r="F19" s="2" t="s">
        <v>15</v>
      </c>
      <c r="G19" s="3" t="s">
        <v>14</v>
      </c>
      <c r="H19" s="2" t="s">
        <v>14</v>
      </c>
    </row>
    <row r="20" spans="1:8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14</v>
      </c>
      <c r="F20" s="2" t="s">
        <v>15</v>
      </c>
      <c r="G20" s="3" t="s">
        <v>14</v>
      </c>
      <c r="H20" s="2" t="s">
        <v>14</v>
      </c>
    </row>
    <row r="23" spans="1:8">
      <c r="A23" s="9" t="s">
        <v>73</v>
      </c>
      <c r="B23" s="4" t="s">
        <v>74</v>
      </c>
      <c r="C23" s="4">
        <f>COUNTA(A4:A20)</f>
        <v>17</v>
      </c>
    </row>
    <row r="24" spans="1:8">
      <c r="A24" s="5"/>
      <c r="B24" s="6" t="s">
        <v>75</v>
      </c>
      <c r="C24" s="6">
        <f>COUNTIF(F4:F20,"Done")</f>
        <v>0</v>
      </c>
    </row>
    <row r="25" spans="1:8">
      <c r="A25" s="5"/>
      <c r="B25" s="6" t="s">
        <v>76</v>
      </c>
      <c r="C25" s="7">
        <f>IF(C23=0,0,C24/C23)</f>
        <v>0</v>
      </c>
    </row>
  </sheetData>
  <mergeCells count="3">
    <mergeCell ref="A2:H2"/>
    <mergeCell ref="A23"/>
    <mergeCell ref="A1:H1"/>
  </mergeCells>
  <conditionalFormatting sqref="F4:F20">
    <cfRule type="expression" dxfId="2" priority="4">
      <formula>$F4="Done"</formula>
    </cfRule>
    <cfRule type="expression" dxfId="1" priority="5">
      <formula>$F4="Blocked"</formula>
    </cfRule>
    <cfRule type="expression" dxfId="0" priority="6">
      <formula>$F4="In progress"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/>
  </sheetViews>
  <sheetFormatPr defaultRowHeight="15"/>
  <cols>
    <col min="1" max="1" width="8" customWidth="1"/>
    <col min="2" max="2" width="32" customWidth="1"/>
    <col min="3" max="3" width="44" customWidth="1"/>
    <col min="4" max="4" width="22" customWidth="1"/>
    <col min="5" max="5" width="18" customWidth="1"/>
    <col min="6" max="6" width="22" customWidth="1"/>
    <col min="7" max="7" width="26" customWidth="1"/>
  </cols>
  <sheetData>
    <row r="1" spans="1:7" ht="27.95" customHeight="1">
      <c r="A1" s="10" t="s">
        <v>77</v>
      </c>
      <c r="B1" s="11"/>
      <c r="C1" s="11"/>
      <c r="D1" s="11"/>
      <c r="E1" s="11"/>
      <c r="F1" s="11"/>
      <c r="G1" s="11"/>
    </row>
    <row r="2" spans="1:7" ht="18" customHeight="1">
      <c r="A2" s="8" t="s">
        <v>78</v>
      </c>
      <c r="B2" s="11"/>
      <c r="C2" s="11"/>
      <c r="D2" s="11"/>
      <c r="E2" s="11"/>
      <c r="F2" s="11"/>
      <c r="G2" s="11"/>
    </row>
    <row r="3" spans="1:7" ht="33.950000000000003" customHeight="1">
      <c r="A3" s="1" t="s">
        <v>79</v>
      </c>
      <c r="B3" s="1" t="s">
        <v>80</v>
      </c>
      <c r="C3" s="1" t="s">
        <v>81</v>
      </c>
      <c r="D3" s="1" t="s">
        <v>82</v>
      </c>
      <c r="E3" s="1" t="s">
        <v>6</v>
      </c>
      <c r="F3" s="1" t="s">
        <v>83</v>
      </c>
      <c r="G3" s="1" t="s">
        <v>9</v>
      </c>
    </row>
    <row r="4" spans="1:7">
      <c r="A4" s="2" t="s">
        <v>84</v>
      </c>
      <c r="B4" s="2"/>
      <c r="C4" s="2"/>
      <c r="D4" s="2"/>
      <c r="E4" s="2"/>
      <c r="F4" s="2"/>
      <c r="G4" s="2"/>
    </row>
    <row r="5" spans="1:7">
      <c r="A5" s="2" t="s">
        <v>85</v>
      </c>
      <c r="B5" s="2"/>
      <c r="C5" s="2"/>
      <c r="D5" s="2"/>
      <c r="E5" s="2"/>
      <c r="F5" s="2"/>
      <c r="G5" s="2"/>
    </row>
    <row r="6" spans="1:7">
      <c r="A6" s="2" t="s">
        <v>86</v>
      </c>
      <c r="B6" s="2"/>
      <c r="C6" s="2"/>
      <c r="D6" s="2"/>
      <c r="E6" s="2"/>
      <c r="F6" s="2"/>
      <c r="G6" s="2"/>
    </row>
    <row r="7" spans="1:7">
      <c r="A7" s="2" t="s">
        <v>87</v>
      </c>
      <c r="B7" s="2"/>
      <c r="C7" s="2"/>
      <c r="D7" s="2"/>
      <c r="E7" s="2"/>
      <c r="F7" s="2"/>
      <c r="G7" s="2"/>
    </row>
    <row r="8" spans="1:7">
      <c r="A8" s="2" t="s">
        <v>88</v>
      </c>
      <c r="B8" s="2"/>
      <c r="C8" s="2"/>
      <c r="D8" s="2"/>
      <c r="E8" s="2"/>
      <c r="F8" s="2"/>
      <c r="G8" s="2"/>
    </row>
    <row r="9" spans="1:7">
      <c r="A9" s="2" t="s">
        <v>89</v>
      </c>
      <c r="B9" s="2"/>
      <c r="C9" s="2"/>
      <c r="D9" s="2"/>
      <c r="E9" s="2"/>
      <c r="F9" s="2"/>
      <c r="G9" s="2"/>
    </row>
    <row r="10" spans="1:7">
      <c r="A10" s="2" t="s">
        <v>90</v>
      </c>
      <c r="B10" s="2"/>
      <c r="C10" s="2"/>
      <c r="D10" s="2"/>
      <c r="E10" s="2"/>
      <c r="F10" s="2"/>
      <c r="G10" s="2"/>
    </row>
    <row r="11" spans="1:7">
      <c r="A11" s="2" t="s">
        <v>91</v>
      </c>
      <c r="B11" s="2"/>
      <c r="C11" s="2"/>
      <c r="D11" s="2"/>
      <c r="E11" s="2"/>
      <c r="F11" s="2"/>
      <c r="G11" s="2"/>
    </row>
    <row r="12" spans="1:7">
      <c r="A12" s="2" t="s">
        <v>92</v>
      </c>
      <c r="B12" s="2"/>
      <c r="C12" s="2"/>
      <c r="D12" s="2"/>
      <c r="E12" s="2"/>
      <c r="F12" s="2"/>
      <c r="G12" s="2"/>
    </row>
    <row r="13" spans="1:7">
      <c r="A13" s="2" t="s">
        <v>93</v>
      </c>
      <c r="B13" s="2"/>
      <c r="C13" s="2"/>
      <c r="D13" s="2"/>
      <c r="E13" s="2"/>
      <c r="F13" s="2"/>
      <c r="G13" s="2"/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showGridLines="0" workbookViewId="0"/>
  </sheetViews>
  <sheetFormatPr defaultRowHeight="15"/>
  <cols>
    <col min="1" max="1" width="18" customWidth="1"/>
    <col min="2" max="3" width="28" customWidth="1"/>
    <col min="4" max="5" width="34" customWidth="1"/>
    <col min="6" max="6" width="28" customWidth="1"/>
  </cols>
  <sheetData>
    <row r="1" spans="1:6" ht="27.95" customHeight="1">
      <c r="A1" s="10" t="s">
        <v>94</v>
      </c>
      <c r="B1" s="11"/>
      <c r="C1" s="11"/>
      <c r="D1" s="11"/>
      <c r="E1" s="11"/>
      <c r="F1" s="11"/>
    </row>
    <row r="2" spans="1:6" ht="18" customHeight="1">
      <c r="A2" s="8" t="s">
        <v>95</v>
      </c>
      <c r="B2" s="11"/>
      <c r="C2" s="11"/>
      <c r="D2" s="11"/>
      <c r="E2" s="11"/>
      <c r="F2" s="11"/>
    </row>
    <row r="3" spans="1:6" ht="33.950000000000003" customHeight="1">
      <c r="A3" s="1" t="s">
        <v>3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</row>
    <row r="4" spans="1:6">
      <c r="A4" s="2" t="s">
        <v>101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</row>
    <row r="5" spans="1:6">
      <c r="A5" s="2" t="s">
        <v>102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</row>
    <row r="6" spans="1:6">
      <c r="A6" s="2" t="s">
        <v>103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</row>
    <row r="7" spans="1:6">
      <c r="A7" s="2" t="s">
        <v>104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14</v>
      </c>
    </row>
    <row r="8" spans="1:6">
      <c r="A8" s="2" t="s">
        <v>105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</row>
    <row r="9" spans="1:6">
      <c r="A9" s="2" t="s">
        <v>106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showGridLines="0" workbookViewId="0"/>
  </sheetViews>
  <sheetFormatPr defaultRowHeight="15"/>
  <cols>
    <col min="1" max="1" width="18" customWidth="1"/>
    <col min="2" max="2" width="14" customWidth="1"/>
    <col min="3" max="3" width="18" customWidth="1"/>
    <col min="4" max="4" width="34" customWidth="1"/>
    <col min="5" max="5" width="40" customWidth="1"/>
    <col min="6" max="6" width="22" customWidth="1"/>
    <col min="7" max="7" width="16" customWidth="1"/>
    <col min="8" max="8" width="26" customWidth="1"/>
    <col min="9" max="9" width="22" customWidth="1"/>
  </cols>
  <sheetData>
    <row r="1" spans="1:9" ht="27.95" customHeight="1">
      <c r="A1" s="10" t="s">
        <v>107</v>
      </c>
      <c r="B1" s="11"/>
      <c r="C1" s="11"/>
      <c r="D1" s="11"/>
      <c r="E1" s="11"/>
      <c r="F1" s="11"/>
      <c r="G1" s="11"/>
      <c r="H1" s="11"/>
      <c r="I1" s="11"/>
    </row>
    <row r="2" spans="1:9" ht="18" customHeight="1">
      <c r="A2" s="8" t="s">
        <v>108</v>
      </c>
      <c r="B2" s="11"/>
      <c r="C2" s="11"/>
      <c r="D2" s="11"/>
      <c r="E2" s="11"/>
      <c r="F2" s="11"/>
      <c r="G2" s="11"/>
      <c r="H2" s="11"/>
      <c r="I2" s="11"/>
    </row>
    <row r="3" spans="1:9" ht="33.950000000000003" customHeight="1">
      <c r="A3" s="1" t="s">
        <v>109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116</v>
      </c>
      <c r="I3" s="1" t="s">
        <v>9</v>
      </c>
    </row>
    <row r="4" spans="1:9">
      <c r="A4" s="2" t="s">
        <v>14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14</v>
      </c>
      <c r="B5" s="2"/>
      <c r="C5" s="2"/>
      <c r="D5" s="2"/>
      <c r="E5" s="2"/>
      <c r="F5" s="2"/>
      <c r="G5" s="2"/>
      <c r="H5" s="2"/>
      <c r="I5" s="2"/>
    </row>
    <row r="6" spans="1:9">
      <c r="A6" s="2" t="s">
        <v>14</v>
      </c>
      <c r="B6" s="2"/>
      <c r="C6" s="2"/>
      <c r="D6" s="2"/>
      <c r="E6" s="2"/>
      <c r="F6" s="2"/>
      <c r="G6" s="2"/>
      <c r="H6" s="2"/>
      <c r="I6" s="2"/>
    </row>
    <row r="7" spans="1:9">
      <c r="A7" s="2" t="s">
        <v>14</v>
      </c>
      <c r="B7" s="2"/>
      <c r="C7" s="2"/>
      <c r="D7" s="2"/>
      <c r="E7" s="2"/>
      <c r="F7" s="2"/>
      <c r="G7" s="2"/>
      <c r="H7" s="2"/>
      <c r="I7" s="2"/>
    </row>
    <row r="8" spans="1:9">
      <c r="A8" s="2" t="s">
        <v>14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14</v>
      </c>
      <c r="B9" s="2"/>
      <c r="C9" s="2"/>
      <c r="D9" s="2"/>
      <c r="E9" s="2"/>
      <c r="F9" s="2"/>
      <c r="G9" s="2"/>
      <c r="H9" s="2"/>
      <c r="I9" s="2"/>
    </row>
    <row r="10" spans="1:9">
      <c r="A10" s="2" t="s">
        <v>14</v>
      </c>
      <c r="B10" s="2"/>
      <c r="C10" s="2"/>
      <c r="D10" s="2"/>
      <c r="E10" s="2"/>
      <c r="F10" s="2"/>
      <c r="G10" s="2"/>
      <c r="H10" s="2"/>
      <c r="I10" s="2"/>
    </row>
    <row r="11" spans="1:9">
      <c r="A11" s="2" t="s">
        <v>14</v>
      </c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"/>
  <sheetViews>
    <sheetView showGridLines="0" workbookViewId="0"/>
  </sheetViews>
  <sheetFormatPr defaultRowHeight="15"/>
  <cols>
    <col min="1" max="1" width="34" customWidth="1"/>
    <col min="2" max="2" width="18" customWidth="1"/>
    <col min="3" max="4" width="9" customWidth="1"/>
    <col min="5" max="6" width="12" customWidth="1"/>
    <col min="7" max="7" width="14" customWidth="1"/>
    <col min="8" max="8" width="9" customWidth="1"/>
  </cols>
  <sheetData>
    <row r="1" spans="1:8" ht="27.95" customHeight="1">
      <c r="A1" s="10" t="s">
        <v>117</v>
      </c>
      <c r="B1" s="11"/>
      <c r="C1" s="11"/>
      <c r="D1" s="11"/>
      <c r="E1" s="11"/>
      <c r="F1" s="11"/>
      <c r="G1" s="11"/>
      <c r="H1" s="11"/>
    </row>
    <row r="2" spans="1:8" ht="18" customHeight="1">
      <c r="A2" s="8" t="s">
        <v>118</v>
      </c>
      <c r="B2" s="11"/>
      <c r="C2" s="11"/>
      <c r="D2" s="11"/>
      <c r="E2" s="11"/>
      <c r="F2" s="11"/>
      <c r="G2" s="11"/>
      <c r="H2" s="11"/>
    </row>
    <row r="3" spans="1:8" ht="33.950000000000003" customHeight="1">
      <c r="A3" s="1" t="s">
        <v>80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  <c r="G3" s="1" t="s">
        <v>124</v>
      </c>
      <c r="H3" s="1" t="s">
        <v>125</v>
      </c>
    </row>
    <row r="4" spans="1:8">
      <c r="A4" s="2" t="s">
        <v>14</v>
      </c>
      <c r="B4" s="2"/>
      <c r="C4" s="2"/>
      <c r="D4" s="2"/>
      <c r="E4" s="2"/>
      <c r="F4" s="2"/>
      <c r="G4" s="2"/>
      <c r="H4" s="2"/>
    </row>
    <row r="5" spans="1:8">
      <c r="A5" s="2" t="s">
        <v>14</v>
      </c>
      <c r="B5" s="2"/>
      <c r="C5" s="2"/>
      <c r="D5" s="2"/>
      <c r="E5" s="2"/>
      <c r="F5" s="2"/>
      <c r="G5" s="2"/>
      <c r="H5" s="2"/>
    </row>
    <row r="6" spans="1:8">
      <c r="A6" s="2" t="s">
        <v>14</v>
      </c>
      <c r="B6" s="2"/>
      <c r="C6" s="2"/>
      <c r="D6" s="2"/>
      <c r="E6" s="2"/>
      <c r="F6" s="2"/>
      <c r="G6" s="2"/>
      <c r="H6" s="2"/>
    </row>
    <row r="7" spans="1:8">
      <c r="A7" s="2" t="s">
        <v>14</v>
      </c>
      <c r="B7" s="2"/>
      <c r="C7" s="2"/>
      <c r="D7" s="2"/>
      <c r="E7" s="2"/>
      <c r="F7" s="2"/>
      <c r="G7" s="2"/>
      <c r="H7" s="2"/>
    </row>
    <row r="8" spans="1:8">
      <c r="A8" s="2" t="s">
        <v>14</v>
      </c>
      <c r="B8" s="2"/>
      <c r="C8" s="2"/>
      <c r="D8" s="2"/>
      <c r="E8" s="2"/>
      <c r="F8" s="2"/>
      <c r="G8" s="2"/>
      <c r="H8" s="2"/>
    </row>
    <row r="9" spans="1:8">
      <c r="A9" s="2" t="s">
        <v>14</v>
      </c>
      <c r="B9" s="2"/>
      <c r="C9" s="2"/>
      <c r="D9" s="2"/>
      <c r="E9" s="2"/>
      <c r="F9" s="2"/>
      <c r="G9" s="2"/>
      <c r="H9" s="2"/>
    </row>
    <row r="10" spans="1:8">
      <c r="A10" s="2" t="s">
        <v>14</v>
      </c>
      <c r="B10" s="2"/>
      <c r="C10" s="2"/>
      <c r="D10" s="2"/>
      <c r="E10" s="2"/>
      <c r="F10" s="2"/>
      <c r="G10" s="2"/>
      <c r="H10" s="2"/>
    </row>
    <row r="11" spans="1:8">
      <c r="A11" s="2" t="s">
        <v>14</v>
      </c>
      <c r="B11" s="2"/>
      <c r="C11" s="2"/>
      <c r="D11" s="2"/>
      <c r="E11" s="2"/>
      <c r="F11" s="2"/>
      <c r="G11" s="2"/>
      <c r="H11" s="2"/>
    </row>
    <row r="12" spans="1:8">
      <c r="A12" s="2" t="s">
        <v>14</v>
      </c>
      <c r="B12" s="2"/>
      <c r="C12" s="2"/>
      <c r="D12" s="2"/>
      <c r="E12" s="2"/>
      <c r="F12" s="2"/>
      <c r="G12" s="2"/>
      <c r="H12" s="2"/>
    </row>
    <row r="13" spans="1:8">
      <c r="A13" s="2" t="s">
        <v>14</v>
      </c>
      <c r="B13" s="2"/>
      <c r="C13" s="2"/>
      <c r="D13" s="2"/>
      <c r="E13" s="2"/>
      <c r="F13" s="2"/>
      <c r="G13" s="2"/>
      <c r="H13" s="2"/>
    </row>
    <row r="14" spans="1:8">
      <c r="A14" s="2" t="s">
        <v>14</v>
      </c>
      <c r="B14" s="2"/>
      <c r="C14" s="2"/>
      <c r="D14" s="2"/>
      <c r="E14" s="2"/>
      <c r="F14" s="2"/>
      <c r="G14" s="2"/>
      <c r="H14" s="2"/>
    </row>
    <row r="15" spans="1:8">
      <c r="A15" s="2" t="s">
        <v>14</v>
      </c>
      <c r="B15" s="2"/>
      <c r="C15" s="2"/>
      <c r="D15" s="2"/>
      <c r="E15" s="2"/>
      <c r="F15" s="2"/>
      <c r="G15" s="2"/>
      <c r="H15" s="2"/>
    </row>
    <row r="16" spans="1:8">
      <c r="A16" s="2" t="s">
        <v>14</v>
      </c>
      <c r="B16" s="2"/>
      <c r="C16" s="2"/>
      <c r="D16" s="2"/>
      <c r="E16" s="2"/>
      <c r="F16" s="2"/>
      <c r="G16" s="2"/>
      <c r="H16" s="2"/>
    </row>
    <row r="17" spans="1:8">
      <c r="A17" s="2" t="s">
        <v>14</v>
      </c>
      <c r="B17" s="2"/>
      <c r="C17" s="2"/>
      <c r="D17" s="2"/>
      <c r="E17" s="2"/>
      <c r="F17" s="2"/>
      <c r="G17" s="2"/>
      <c r="H17" s="2"/>
    </row>
    <row r="18" spans="1:8">
      <c r="A18" s="2" t="s">
        <v>14</v>
      </c>
      <c r="B18" s="2"/>
      <c r="C18" s="2"/>
      <c r="D18" s="2"/>
      <c r="E18" s="2"/>
      <c r="F18" s="2"/>
      <c r="G18" s="2"/>
      <c r="H18" s="2"/>
    </row>
    <row r="19" spans="1:8">
      <c r="A19" s="2" t="s">
        <v>14</v>
      </c>
      <c r="B19" s="2"/>
      <c r="C19" s="2"/>
      <c r="D19" s="2"/>
      <c r="E19" s="2"/>
      <c r="F19" s="2"/>
      <c r="G19" s="2"/>
      <c r="H19" s="2"/>
    </row>
    <row r="20" spans="1:8">
      <c r="A20" s="2" t="s">
        <v>14</v>
      </c>
      <c r="B20" s="2"/>
      <c r="C20" s="2"/>
      <c r="D20" s="2"/>
      <c r="E20" s="2"/>
      <c r="F20" s="2"/>
      <c r="G20" s="2"/>
      <c r="H20" s="2"/>
    </row>
    <row r="21" spans="1:8">
      <c r="A21" s="2" t="s">
        <v>14</v>
      </c>
      <c r="B21" s="2"/>
      <c r="C21" s="2"/>
      <c r="D21" s="2"/>
      <c r="E21" s="2"/>
      <c r="F21" s="2"/>
      <c r="G21" s="2"/>
      <c r="H21" s="2"/>
    </row>
    <row r="22" spans="1:8">
      <c r="A22" s="2" t="s">
        <v>14</v>
      </c>
      <c r="B22" s="2"/>
      <c r="C22" s="2"/>
      <c r="D22" s="2"/>
      <c r="E22" s="2"/>
      <c r="F22" s="2"/>
      <c r="G22" s="2"/>
      <c r="H22" s="2"/>
    </row>
    <row r="23" spans="1:8">
      <c r="A23" s="2" t="s">
        <v>14</v>
      </c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0"/>
  <sheetViews>
    <sheetView showGridLines="0" workbookViewId="0"/>
  </sheetViews>
  <sheetFormatPr defaultRowHeight="15"/>
  <cols>
    <col min="1" max="2" width="24" customWidth="1"/>
    <col min="3" max="3" width="8" customWidth="1"/>
    <col min="4" max="5" width="34" customWidth="1"/>
    <col min="6" max="6" width="24" customWidth="1"/>
    <col min="7" max="7" width="22" customWidth="1"/>
    <col min="8" max="8" width="18" customWidth="1"/>
  </cols>
  <sheetData>
    <row r="1" spans="1:8" ht="27.95" customHeight="1">
      <c r="A1" s="10" t="s">
        <v>126</v>
      </c>
      <c r="B1" s="11"/>
      <c r="C1" s="11"/>
      <c r="D1" s="11"/>
      <c r="E1" s="11"/>
      <c r="F1" s="11"/>
      <c r="G1" s="11"/>
      <c r="H1" s="11"/>
    </row>
    <row r="2" spans="1:8" ht="18" customHeight="1">
      <c r="A2" s="8" t="s">
        <v>127</v>
      </c>
      <c r="B2" s="11"/>
      <c r="C2" s="11"/>
      <c r="D2" s="11"/>
      <c r="E2" s="11"/>
      <c r="F2" s="11"/>
      <c r="G2" s="11"/>
      <c r="H2" s="11"/>
    </row>
    <row r="3" spans="1:8" ht="33.950000000000003" customHeight="1">
      <c r="A3" s="1" t="s">
        <v>80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9</v>
      </c>
    </row>
    <row r="4" spans="1:8">
      <c r="A4" s="2" t="s">
        <v>134</v>
      </c>
      <c r="B4" s="2" t="s">
        <v>135</v>
      </c>
      <c r="C4" s="2">
        <v>1</v>
      </c>
      <c r="D4" s="2" t="s">
        <v>136</v>
      </c>
      <c r="E4" s="2" t="s">
        <v>137</v>
      </c>
      <c r="F4" s="2" t="s">
        <v>138</v>
      </c>
      <c r="G4" s="2" t="s">
        <v>139</v>
      </c>
      <c r="H4" s="2" t="s">
        <v>14</v>
      </c>
    </row>
    <row r="5" spans="1:8">
      <c r="A5" s="2" t="s">
        <v>134</v>
      </c>
      <c r="B5" s="2" t="s">
        <v>135</v>
      </c>
      <c r="C5" s="2">
        <v>2</v>
      </c>
      <c r="D5" s="2" t="s">
        <v>136</v>
      </c>
      <c r="E5" s="2" t="s">
        <v>137</v>
      </c>
      <c r="F5" s="2" t="s">
        <v>140</v>
      </c>
      <c r="G5" s="2" t="s">
        <v>141</v>
      </c>
      <c r="H5" s="2" t="s">
        <v>14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0"/>
  <sheetViews>
    <sheetView showGridLines="0" workbookViewId="0"/>
  </sheetViews>
  <sheetFormatPr defaultRowHeight="15"/>
  <cols>
    <col min="1" max="1" width="18" customWidth="1"/>
    <col min="2" max="2" width="14" customWidth="1"/>
    <col min="3" max="3" width="24" customWidth="1"/>
    <col min="4" max="4" width="22" customWidth="1"/>
    <col min="5" max="5" width="26" customWidth="1"/>
    <col min="6" max="6" width="24" customWidth="1"/>
    <col min="7" max="7" width="28" customWidth="1"/>
    <col min="8" max="8" width="34" customWidth="1"/>
    <col min="9" max="9" width="20" customWidth="1"/>
    <col min="10" max="10" width="28" customWidth="1"/>
    <col min="11" max="11" width="18" customWidth="1"/>
  </cols>
  <sheetData>
    <row r="1" spans="1:11" ht="27.95" customHeight="1">
      <c r="A1" s="10" t="s">
        <v>142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>
      <c r="A2" s="8" t="s">
        <v>143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33.950000000000003" customHeight="1">
      <c r="A3" s="1" t="s">
        <v>109</v>
      </c>
      <c r="B3" s="1" t="s">
        <v>110</v>
      </c>
      <c r="C3" s="1" t="s">
        <v>144</v>
      </c>
      <c r="D3" s="1" t="s">
        <v>145</v>
      </c>
      <c r="E3" s="1" t="s">
        <v>146</v>
      </c>
      <c r="F3" s="1" t="s">
        <v>147</v>
      </c>
      <c r="G3" s="1" t="s">
        <v>148</v>
      </c>
      <c r="H3" s="1" t="s">
        <v>149</v>
      </c>
      <c r="I3" s="1" t="s">
        <v>150</v>
      </c>
      <c r="J3" s="1" t="s">
        <v>151</v>
      </c>
      <c r="K3" s="1" t="s">
        <v>9</v>
      </c>
    </row>
    <row r="4" spans="1:11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14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 t="s">
        <v>14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 t="s">
        <v>14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 t="s">
        <v>14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 t="s">
        <v>14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 t="s">
        <v>14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 t="s">
        <v>14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 t="s">
        <v>14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 t="s">
        <v>14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 t="s">
        <v>14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 t="s">
        <v>14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 t="s">
        <v>14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14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14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mergeCells count="2">
    <mergeCell ref="A2:K2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showGridLines="0" workbookViewId="0"/>
  </sheetViews>
  <sheetFormatPr defaultRowHeight="15"/>
  <cols>
    <col min="1" max="1" width="70" customWidth="1"/>
    <col min="2" max="2" width="40" customWidth="1"/>
  </cols>
  <sheetData>
    <row r="1" spans="1:2" ht="27.95" customHeight="1">
      <c r="A1" s="10" t="s">
        <v>9</v>
      </c>
      <c r="B1" s="11"/>
    </row>
    <row r="2" spans="1:2" ht="18" customHeight="1">
      <c r="A2" s="8" t="s">
        <v>152</v>
      </c>
      <c r="B2" s="11"/>
    </row>
    <row r="3" spans="1:2" ht="33.950000000000003" customHeight="1">
      <c r="A3" s="1" t="s">
        <v>153</v>
      </c>
      <c r="B3" s="1" t="s">
        <v>154</v>
      </c>
    </row>
    <row r="4" spans="1:2">
      <c r="A4" s="2" t="s">
        <v>155</v>
      </c>
      <c r="B4" s="2" t="s">
        <v>14</v>
      </c>
    </row>
    <row r="5" spans="1:2">
      <c r="A5" s="2" t="s">
        <v>156</v>
      </c>
      <c r="B5" s="2" t="s">
        <v>14</v>
      </c>
    </row>
    <row r="6" spans="1:2">
      <c r="A6" s="2" t="s">
        <v>157</v>
      </c>
      <c r="B6" s="2" t="s">
        <v>14</v>
      </c>
    </row>
    <row r="7" spans="1:2">
      <c r="A7" s="2" t="s">
        <v>158</v>
      </c>
      <c r="B7" s="2" t="s">
        <v>14</v>
      </c>
    </row>
    <row r="8" spans="1:2">
      <c r="A8" s="2" t="s">
        <v>159</v>
      </c>
      <c r="B8" s="2" t="s">
        <v>160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mergeCells count="2">
    <mergeCell ref="A2:B2"/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6EF05BE09FF24A9B8CBAA8F4265A54" ma:contentTypeVersion="10" ma:contentTypeDescription="Create a new document." ma:contentTypeScope="" ma:versionID="bf3a1a41ab381adfeef72185cd684758">
  <xsd:schema xmlns:xsd="http://www.w3.org/2001/XMLSchema" xmlns:xs="http://www.w3.org/2001/XMLSchema" xmlns:p="http://schemas.microsoft.com/office/2006/metadata/properties" xmlns:ns2="accef1f7-38b1-4a91-a6f3-137acf9afb73" xmlns:ns3="54613916-8fbc-4187-a6fb-62eb906204c9" targetNamespace="http://schemas.microsoft.com/office/2006/metadata/properties" ma:root="true" ma:fieldsID="a4b5a492a36306858603693759053837" ns2:_="" ns3:_="">
    <xsd:import namespace="accef1f7-38b1-4a91-a6f3-137acf9afb73"/>
    <xsd:import namespace="54613916-8fbc-4187-a6fb-62eb906204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ef1f7-38b1-4a91-a6f3-137acf9afb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13916-8fbc-4187-a6fb-62eb906204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7f8df-4a91-4296-a585-aa29730fccfe}" ma:internalName="TaxCatchAll" ma:showField="CatchAllData" ma:web="54613916-8fbc-4187-a6fb-62eb906204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cef1f7-38b1-4a91-a6f3-137acf9afb73">
      <Terms xmlns="http://schemas.microsoft.com/office/infopath/2007/PartnerControls"/>
    </lcf76f155ced4ddcb4097134ff3c332f>
    <TaxCatchAll xmlns="54613916-8fbc-4187-a6fb-62eb906204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FC8A3-5E0E-46AB-BC00-96F5FD3A4597}"/>
</file>

<file path=customXml/itemProps2.xml><?xml version="1.0" encoding="utf-8"?>
<ds:datastoreItem xmlns:ds="http://schemas.openxmlformats.org/officeDocument/2006/customXml" ds:itemID="{1C48CD98-81B8-4CD8-9C45-FE41E2DE38F4}"/>
</file>

<file path=customXml/itemProps3.xml><?xml version="1.0" encoding="utf-8"?>
<ds:datastoreItem xmlns:ds="http://schemas.openxmlformats.org/officeDocument/2006/customXml" ds:itemID="{404232B5-2385-44A6-A04A-F0C0A9C67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Danh Hung 20213958</cp:lastModifiedBy>
  <cp:revision/>
  <dcterms:created xsi:type="dcterms:W3CDTF">2026-04-15T00:40:44Z</dcterms:created>
  <dcterms:modified xsi:type="dcterms:W3CDTF">2026-04-15T00:40:44Z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0x010100A26EF05BE09FF24A9B8CBAA8F4265A54</vt:lpwstr>
  </property>
  <property fmtid="{D5CDD505-2E9C-101B-9397-08002B2CF9AE}" pid="3" name="MediaServiceImageTags">
    <vt:lpwstr/>
  </property>
</Properties>
</file>